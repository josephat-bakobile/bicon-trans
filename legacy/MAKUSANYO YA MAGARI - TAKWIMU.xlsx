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GUST 26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<sst xmlns="http://schemas.openxmlformats.org/spreadsheetml/2006/main" count="52" uniqueCount="32">
  <si>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TAREHE</t>
  </si>
  <si>
    <t xml:space="preserve">DES</t>
  </si>
  <si>
    <t xml:space="preserve">DDS</t>
  </si>
  <si>
    <t xml:space="preserve">AAX</t>
  </si>
  <si>
    <t xml:space="preserve">CJK</t>
  </si>
  <si>
    <t xml:space="preserve">JUMLA YA 
MATUMIZI
YA 
SIKU</t>
  </si>
  <si>
    <t xml:space="preserve">JUMLA YA
MAKUSANYO
 YA 
SIKU</t>
  </si>
  <si>
    <t xml:space="preserve">HAKIJAWASILISHWA</t>
  </si>
  <si>
    <t xml:space="preserve">KIMEWASILISHWA</t>
  </si>
  <si>
    <t xml:space="preserve">MAKUANYO</t>
  </si>
  <si>
    <t xml:space="preserve">MALIPO 
YA 
DENI</t>
  </si>
  <si>
    <t xml:space="preserve">MATUMIZI</t>
  </si>
  <si>
    <t xml:space="preserve">MAELEZO</t>
  </si>
  <si>
    <t xml:space="preserve">alinunua hoko kuziba tair 5000i</t>
  </si>
  <si>
    <t xml:space="preserve">PYD</t>
  </si>
  <si>
    <t xml:space="preserve">Alienda gereji akachelew kutoka</t>
  </si>
  <si>
    <t xml:space="preserve">JUMLA</t>
  </si>
  <si>
    <t xml:space="preserve">MADENI</t>
  </si>
  <si>
    <t xml:space="preserve">INADAIWA</t>
  </si>
  <si>
    <t xml:space="preserve">ILIYO LIPWA</t>
  </si>
  <si>
    <t xml:space="preserve">BAKI</t>
  </si>
  <si>
    <t xml:space="preserve">TAKWIMU / MUHTASARI WA MAKUSANYO NA MATUMIZI (STATISTICS SUMMARY)</t>
  </si>
  <si>
    <t xml:space="preserve">GARI</t>
  </si>
  <si>
    <t xml:space="preserve">JUMLA MAKUSANYO
(Collection)</t>
  </si>
  <si>
    <t xml:space="preserve">JUMLA MALIPO YA DENI
(Debt Payment)</t>
  </si>
  <si>
    <t xml:space="preserve">JUMLA MATUMIZI
(Consumption)</t>
  </si>
  <si>
    <t xml:space="preserve">BAKI
(Collection - Consumption - Debt Payment)</t>
  </si>
  <si>
    <t xml:space="preserve">JUMLA KUU (GRAND TOTAL)</t>
  </si>
  <si>
    <t xml:space="preserve">wily </t>
  </si>
  <si>
    <t xml:space="preserve">joji</t>
  </si>
  <si>
    <t xml:space="preserve">aax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</si>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</sst>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m\ d&quot;, &quot;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44" activeCellId="0" sqref="B44:B47"/>
    </sheetView>
  </sheetViews>
  <sheetFormatPr defaultColWidth="11.5078125" defaultRowHeight="14.25" customHeight="false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2" width="16.84"/>
    <col collapsed="false" customWidth="true" hidden="false" outlineLevel="0" max="3" min="3" style="2" width="18.34"/>
    <col collapsed="false" customWidth="true" hidden="false" outlineLevel="0" max="4" min="4" style="2" width="16.11"/>
    <col collapsed="false" customWidth="true" hidden="false" outlineLevel="0" max="5" min="5" style="2" width="20"/>
    <col collapsed="false" customWidth="true" hidden="false" outlineLevel="0" max="6" min="6" style="2" width="15.74"/>
    <col collapsed="false" customWidth="true" hidden="false" outlineLevel="0" max="7" min="7" style="2" width="19.45"/>
    <col collapsed="false" customWidth="true" hidden="false" outlineLevel="0" max="8" min="8" style="2" width="15.55"/>
    <col collapsed="false" customWidth="true" hidden="false" outlineLevel="0" max="9" min="9" style="2" width="19.45"/>
    <col collapsed="false" customWidth="false" hidden="false" outlineLevel="0" max="11" min="10" style="3" width="11.5"/>
    <col collapsed="false" customWidth="true" hidden="false" outlineLevel="0" max="12" min="12" style="2" width="12.19"/>
    <col collapsed="false" customWidth="true" hidden="false" outlineLevel="0" max="13" min="13" style="2" width="16.3"/>
    <col collapsed="false" customWidth="true" hidden="false" outlineLevel="0" max="14" min="14" style="2" width="17.49"/>
    <col collapsed="false" customWidth="true" hidden="false" outlineLevel="0" max="15" min="15" style="2" width="25.29"/>
    <col collapsed="false" customWidth="true" hidden="false" outlineLevel="0" max="16" min="16" style="2" width="17.76"/>
    <col collapsed="false" customWidth="false" hidden="false" outlineLevel="0" max="17" min="17" style="3" width="11.5"/>
    <col collapsed="false" customWidth="true" hidden="false" outlineLevel="0" max="19" min="18" style="2" width="17.49"/>
    <col collapsed="false" customWidth="true" hidden="false" outlineLevel="0" max="20" min="20" style="2" width="25.29"/>
    <col collapsed="false" customWidth="true" hidden="false" outlineLevel="0" max="21" min="21" style="2" width="17.76"/>
  </cols>
  <sheetData>
    <row r="1" customFormat="false" ht="17.25" hidden="false" customHeight="true" outlineLevel="0" collapsed="false">
      <c r="A1" s="4" t="s">
        <v>0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6" t="s">
        <v>4</v>
      </c>
      <c r="O1" s="6"/>
      <c r="P1" s="6"/>
      <c r="Q1" s="6"/>
      <c r="R1" s="7" t="s">
        <v>5</v>
      </c>
      <c r="S1" s="7" t="s">
        <v>6</v>
      </c>
      <c r="T1" s="8" t="s">
        <v>7</v>
      </c>
      <c r="U1" s="9" t="s">
        <v>8</v>
      </c>
    </row>
    <row r="2" customFormat="false" ht="37.5" hidden="false" customHeight="true" outlineLevel="0" collapsed="false">
      <c r="A2" s="4"/>
      <c r="B2" s="6" t="s">
        <v>9</v>
      </c>
      <c r="C2" s="7" t="s">
        <v>10</v>
      </c>
      <c r="D2" s="6" t="s">
        <v>11</v>
      </c>
      <c r="E2" s="6" t="s">
        <v>12</v>
      </c>
      <c r="F2" s="6" t="s">
        <v>9</v>
      </c>
      <c r="G2" s="7" t="s">
        <v>10</v>
      </c>
      <c r="H2" s="6" t="s">
        <v>11</v>
      </c>
      <c r="I2" s="6" t="s">
        <v>12</v>
      </c>
      <c r="J2" s="6" t="s">
        <v>9</v>
      </c>
      <c r="K2" s="7" t="s">
        <v>10</v>
      </c>
      <c r="L2" s="6" t="s">
        <v>11</v>
      </c>
      <c r="M2" s="6" t="s">
        <v>12</v>
      </c>
      <c r="N2" s="6" t="s">
        <v>9</v>
      </c>
      <c r="O2" s="7" t="s">
        <v>10</v>
      </c>
      <c r="P2" s="6" t="s">
        <v>11</v>
      </c>
      <c r="Q2" s="6" t="s">
        <v>12</v>
      </c>
      <c r="R2" s="7"/>
      <c r="S2" s="7"/>
      <c r="T2" s="8"/>
      <c r="U2" s="8"/>
    </row>
    <row r="3" customFormat="false" ht="14.25" hidden="false" customHeight="true" outlineLevel="0" collapsed="false">
      <c r="A3" s="10" t="n">
        <v>46235</v>
      </c>
      <c r="B3" s="11"/>
      <c r="E3" s="12"/>
      <c r="F3" s="11"/>
      <c r="I3" s="12"/>
      <c r="J3" s="11"/>
      <c r="K3" s="2"/>
      <c r="M3" s="12"/>
      <c r="N3" s="12"/>
      <c r="O3" s="12"/>
      <c r="P3" s="12"/>
      <c r="Q3" s="12"/>
      <c r="R3" s="12" t="n">
        <f aca="false">D3+H3+L3+P3</f>
        <v>0</v>
      </c>
      <c r="S3" s="13" t="n">
        <f aca="false">B3+F3+J3+N3</f>
        <v>0</v>
      </c>
      <c r="T3" s="14"/>
      <c r="U3" s="14"/>
    </row>
    <row r="4" customFormat="false" ht="14.25" hidden="false" customHeight="true" outlineLevel="0" collapsed="false">
      <c r="A4" s="10" t="n">
        <v>46236</v>
      </c>
      <c r="B4" s="11"/>
      <c r="E4" s="12"/>
      <c r="F4" s="11"/>
      <c r="I4" s="12"/>
      <c r="J4" s="11"/>
      <c r="K4" s="2"/>
      <c r="M4" s="12"/>
      <c r="N4" s="12"/>
      <c r="O4" s="12"/>
      <c r="P4" s="12"/>
      <c r="Q4" s="12"/>
      <c r="R4" s="12" t="n">
        <f aca="false">D4+H4+L4+P4</f>
        <v>0</v>
      </c>
      <c r="S4" s="13" t="n">
        <f aca="false">B4+F4+J4+N4</f>
        <v>0</v>
      </c>
      <c r="T4" s="14"/>
      <c r="U4" s="14"/>
    </row>
    <row r="5" customFormat="false" ht="14.25" hidden="false" customHeight="true" outlineLevel="0" collapsed="false">
      <c r="A5" s="10" t="n">
        <v>46237</v>
      </c>
      <c r="B5" s="11"/>
      <c r="E5" s="12"/>
      <c r="F5" s="11"/>
      <c r="I5" s="12"/>
      <c r="J5" s="11"/>
      <c r="K5" s="2"/>
      <c r="M5" s="12"/>
      <c r="N5" s="12"/>
      <c r="O5" s="12"/>
      <c r="P5" s="12"/>
      <c r="Q5" s="12"/>
      <c r="R5" s="12" t="n">
        <f aca="false">D5+H5+L5+P5</f>
        <v>0</v>
      </c>
      <c r="S5" s="13" t="n">
        <f aca="false">B5+F5+J5+N5</f>
        <v>0</v>
      </c>
      <c r="T5" s="14"/>
      <c r="U5" s="14"/>
    </row>
    <row r="6" customFormat="false" ht="14.25" hidden="false" customHeight="true" outlineLevel="0" collapsed="false">
      <c r="A6" s="10" t="n">
        <v>46238</v>
      </c>
      <c r="B6" s="11"/>
      <c r="E6" s="12"/>
      <c r="F6" s="11"/>
      <c r="I6" s="12"/>
      <c r="J6" s="11"/>
      <c r="K6" s="2"/>
      <c r="M6" s="12"/>
      <c r="N6" s="12"/>
      <c r="O6" s="12"/>
      <c r="P6" s="12"/>
      <c r="Q6" s="12"/>
      <c r="R6" s="12" t="n">
        <f aca="false">D6+H6+L6+P6</f>
        <v>0</v>
      </c>
      <c r="S6" s="13" t="n">
        <f aca="false">B6+F6+J6+N6</f>
        <v>0</v>
      </c>
      <c r="T6" s="14"/>
      <c r="U6" s="14"/>
    </row>
    <row r="7" customFormat="false" ht="14.25" hidden="false" customHeight="true" outlineLevel="0" collapsed="false">
      <c r="A7" s="10" t="n">
        <v>46239</v>
      </c>
      <c r="B7" s="11"/>
      <c r="E7" s="12"/>
      <c r="F7" s="11"/>
      <c r="I7" s="12"/>
      <c r="J7" s="11"/>
      <c r="K7" s="2"/>
      <c r="M7" s="12"/>
      <c r="N7" s="12"/>
      <c r="O7" s="12"/>
      <c r="P7" s="12"/>
      <c r="Q7" s="12"/>
      <c r="R7" s="12" t="n">
        <f aca="false">D7+H7+L7+P7</f>
        <v>0</v>
      </c>
      <c r="S7" s="13" t="n">
        <f aca="false">B7+F7+J7+N7</f>
        <v>0</v>
      </c>
      <c r="T7" s="14"/>
      <c r="U7" s="14"/>
    </row>
    <row r="8" customFormat="false" ht="14.25" hidden="false" customHeight="true" outlineLevel="0" collapsed="false">
      <c r="A8" s="10" t="n">
        <v>46240</v>
      </c>
      <c r="B8" s="11"/>
      <c r="E8" s="12"/>
      <c r="F8" s="11"/>
      <c r="I8" s="12"/>
      <c r="J8" s="11"/>
      <c r="K8" s="2"/>
      <c r="M8" s="12"/>
      <c r="N8" s="12"/>
      <c r="O8" s="12"/>
      <c r="P8" s="12"/>
      <c r="Q8" s="12"/>
      <c r="R8" s="12" t="n">
        <f aca="false">D8+H8+L8+P8</f>
        <v>0</v>
      </c>
      <c r="S8" s="13" t="n">
        <f aca="false">B8+F8+J8+N8</f>
        <v>0</v>
      </c>
      <c r="T8" s="14"/>
      <c r="U8" s="14"/>
    </row>
    <row r="9" customFormat="false" ht="14.25" hidden="false" customHeight="true" outlineLevel="0" collapsed="false">
      <c r="A9" s="10" t="n">
        <v>46241</v>
      </c>
      <c r="B9" s="11"/>
      <c r="E9" s="12"/>
      <c r="F9" s="11"/>
      <c r="I9" s="12"/>
      <c r="J9" s="11"/>
      <c r="K9" s="2"/>
      <c r="M9" s="12"/>
      <c r="N9" s="12"/>
      <c r="O9" s="12"/>
      <c r="P9" s="12"/>
      <c r="Q9" s="12"/>
      <c r="R9" s="12" t="n">
        <f aca="false">D9+H9+L9+P9</f>
        <v>0</v>
      </c>
      <c r="S9" s="13" t="n">
        <f aca="false">B9+F9+J9+N9</f>
        <v>0</v>
      </c>
      <c r="T9" s="14"/>
      <c r="U9" s="14"/>
    </row>
    <row r="10" customFormat="false" ht="14.25" hidden="false" customHeight="true" outlineLevel="0" collapsed="false">
      <c r="A10" s="10" t="n">
        <v>46242</v>
      </c>
      <c r="B10" s="11"/>
      <c r="E10" s="12"/>
      <c r="F10" s="11"/>
      <c r="I10" s="12"/>
      <c r="J10" s="11"/>
      <c r="K10" s="2"/>
      <c r="M10" s="12"/>
      <c r="N10" s="12"/>
      <c r="O10" s="12"/>
      <c r="P10" s="12"/>
      <c r="Q10" s="12"/>
      <c r="R10" s="12" t="n">
        <f aca="false">D10+H10+L10+P10</f>
        <v>0</v>
      </c>
      <c r="S10" s="13" t="n">
        <f aca="false">B10+F10+J10+N10</f>
        <v>0</v>
      </c>
      <c r="T10" s="14"/>
      <c r="U10" s="14"/>
    </row>
    <row r="11" customFormat="false" ht="14.25" hidden="false" customHeight="true" outlineLevel="0" collapsed="false">
      <c r="A11" s="10" t="n">
        <v>46243</v>
      </c>
      <c r="B11" s="11"/>
      <c r="E11" s="12"/>
      <c r="F11" s="11"/>
      <c r="I11" s="12"/>
      <c r="J11" s="11"/>
      <c r="K11" s="2"/>
      <c r="M11" s="12"/>
      <c r="N11" s="12"/>
      <c r="O11" s="12"/>
      <c r="P11" s="12"/>
      <c r="Q11" s="12"/>
      <c r="R11" s="12" t="n">
        <f aca="false">D11+H11+L11+P11</f>
        <v>0</v>
      </c>
      <c r="S11" s="13" t="n">
        <f aca="false">B11+F11+J11+N11</f>
        <v>0</v>
      </c>
      <c r="T11" s="14"/>
      <c r="U11" s="14"/>
    </row>
    <row r="12" customFormat="false" ht="14.25" hidden="false" customHeight="true" outlineLevel="0" collapsed="false">
      <c r="A12" s="10" t="n">
        <v>46244</v>
      </c>
      <c r="B12" s="11"/>
      <c r="E12" s="12"/>
      <c r="F12" s="11"/>
      <c r="I12" s="12"/>
      <c r="J12" s="11"/>
      <c r="K12" s="2"/>
      <c r="M12" s="12"/>
      <c r="N12" s="12"/>
      <c r="O12" s="12"/>
      <c r="P12" s="12"/>
      <c r="Q12" s="12"/>
      <c r="R12" s="12" t="n">
        <f aca="false">D12+H12+L12+P12</f>
        <v>0</v>
      </c>
      <c r="S12" s="13" t="n">
        <f aca="false">B12+F12+J12+N12</f>
        <v>0</v>
      </c>
      <c r="T12" s="14"/>
      <c r="U12" s="14"/>
    </row>
    <row r="13" customFormat="false" ht="14.25" hidden="false" customHeight="true" outlineLevel="0" collapsed="false">
      <c r="A13" s="10" t="n">
        <v>46245</v>
      </c>
      <c r="B13" s="11"/>
      <c r="E13" s="12"/>
      <c r="F13" s="11"/>
      <c r="I13" s="12"/>
      <c r="J13" s="11"/>
      <c r="K13" s="2"/>
      <c r="M13" s="12"/>
      <c r="N13" s="12"/>
      <c r="O13" s="12"/>
      <c r="P13" s="12"/>
      <c r="Q13" s="12"/>
      <c r="R13" s="12" t="n">
        <f aca="false">D13+H13+L13+P13</f>
        <v>0</v>
      </c>
      <c r="S13" s="13" t="n">
        <f aca="false">B13+F13+J13+N13</f>
        <v>0</v>
      </c>
      <c r="T13" s="14"/>
      <c r="U13" s="14"/>
    </row>
    <row r="14" customFormat="false" ht="14.25" hidden="false" customHeight="true" outlineLevel="0" collapsed="false">
      <c r="A14" s="10" t="n">
        <v>46246</v>
      </c>
      <c r="B14" s="11"/>
      <c r="E14" s="12"/>
      <c r="F14" s="11"/>
      <c r="I14" s="12"/>
      <c r="J14" s="11"/>
      <c r="K14" s="2"/>
      <c r="M14" s="12"/>
      <c r="N14" s="12"/>
      <c r="O14" s="12"/>
      <c r="P14" s="12"/>
      <c r="Q14" s="12"/>
      <c r="R14" s="12" t="n">
        <f aca="false">D14+H14+L14+P14</f>
        <v>0</v>
      </c>
      <c r="S14" s="13" t="n">
        <f aca="false">B14+F14+J14+N14</f>
        <v>0</v>
      </c>
      <c r="T14" s="14"/>
      <c r="U14" s="14"/>
    </row>
    <row r="15" customFormat="false" ht="14.25" hidden="false" customHeight="true" outlineLevel="0" collapsed="false">
      <c r="A15" s="10" t="n">
        <v>46247</v>
      </c>
      <c r="B15" s="11"/>
      <c r="E15" s="12"/>
      <c r="F15" s="11"/>
      <c r="I15" s="12"/>
      <c r="J15" s="11"/>
      <c r="K15" s="2"/>
      <c r="M15" s="12"/>
      <c r="N15" s="12"/>
      <c r="O15" s="12"/>
      <c r="P15" s="12"/>
      <c r="Q15" s="12"/>
      <c r="R15" s="12" t="n">
        <f aca="false">D15+H15+L15+P15</f>
        <v>0</v>
      </c>
      <c r="S15" s="13" t="n">
        <f aca="false">B15+F15+J15+N15</f>
        <v>0</v>
      </c>
      <c r="T15" s="14"/>
      <c r="U15" s="14"/>
    </row>
    <row r="16" customFormat="false" ht="14.25" hidden="false" customHeight="true" outlineLevel="0" collapsed="false">
      <c r="A16" s="10" t="n">
        <v>46248</v>
      </c>
      <c r="B16" s="11"/>
      <c r="E16" s="12"/>
      <c r="F16" s="11"/>
      <c r="I16" s="12"/>
      <c r="J16" s="11"/>
      <c r="K16" s="2"/>
      <c r="M16" s="12"/>
      <c r="N16" s="12"/>
      <c r="O16" s="12"/>
      <c r="P16" s="12"/>
      <c r="Q16" s="12"/>
      <c r="R16" s="12" t="n">
        <f aca="false">D16+H16+L16+P16</f>
        <v>0</v>
      </c>
      <c r="S16" s="13" t="n">
        <f aca="false">B16+F16+J16+N16</f>
        <v>0</v>
      </c>
      <c r="T16" s="14"/>
      <c r="U16" s="14"/>
    </row>
    <row r="17" customFormat="false" ht="14.25" hidden="false" customHeight="true" outlineLevel="0" collapsed="false">
      <c r="A17" s="10" t="n">
        <v>46249</v>
      </c>
      <c r="B17" s="11"/>
      <c r="E17" s="12"/>
      <c r="F17" s="11"/>
      <c r="I17" s="12"/>
      <c r="J17" s="11"/>
      <c r="K17" s="2"/>
      <c r="M17" s="12"/>
      <c r="N17" s="12"/>
      <c r="O17" s="12"/>
      <c r="P17" s="12"/>
      <c r="Q17" s="12"/>
      <c r="R17" s="12" t="n">
        <f aca="false">D17+H17+L17+P17</f>
        <v>0</v>
      </c>
      <c r="S17" s="13" t="n">
        <f aca="false">B17+F17+J17+N17</f>
        <v>0</v>
      </c>
      <c r="T17" s="14"/>
      <c r="U17" s="14"/>
    </row>
    <row r="18" customFormat="false" ht="14.25" hidden="false" customHeight="true" outlineLevel="0" collapsed="false">
      <c r="A18" s="10" t="n">
        <v>46250</v>
      </c>
      <c r="B18" s="15" t="n">
        <v>45000</v>
      </c>
      <c r="E18" s="12"/>
      <c r="F18" s="11"/>
      <c r="I18" s="12"/>
      <c r="J18" s="11"/>
      <c r="K18" s="2"/>
      <c r="M18" s="12"/>
      <c r="N18" s="12" t="n">
        <v>45000</v>
      </c>
      <c r="O18" s="12"/>
      <c r="P18" s="12"/>
      <c r="Q18" s="12"/>
      <c r="R18" s="12" t="n">
        <f aca="false">D18+H18+L18+P18</f>
        <v>0</v>
      </c>
      <c r="S18" s="13" t="n">
        <f aca="false">B18+F18+J18+N18</f>
        <v>90000</v>
      </c>
      <c r="T18" s="14"/>
      <c r="U18" s="14"/>
    </row>
    <row r="19" customFormat="false" ht="14.25" hidden="false" customHeight="true" outlineLevel="0" collapsed="false">
      <c r="A19" s="10" t="n">
        <v>46251</v>
      </c>
      <c r="B19" s="15" t="n">
        <v>40000</v>
      </c>
      <c r="E19" s="12" t="s">
        <v>13</v>
      </c>
      <c r="F19" s="15" t="n">
        <v>45000</v>
      </c>
      <c r="H19" s="2" t="n">
        <v>45000</v>
      </c>
      <c r="I19" s="12" t="s">
        <v>14</v>
      </c>
      <c r="J19" s="11" t="n">
        <v>45000</v>
      </c>
      <c r="K19" s="2"/>
      <c r="M19" s="12"/>
      <c r="N19" s="12" t="n">
        <v>40000</v>
      </c>
      <c r="O19" s="12"/>
      <c r="P19" s="12"/>
      <c r="Q19" s="12" t="s">
        <v>15</v>
      </c>
      <c r="R19" s="12" t="n">
        <f aca="false">D19+H19+L19+P19</f>
        <v>45000</v>
      </c>
      <c r="S19" s="13" t="n">
        <f aca="false">B19+F19+J19+N19</f>
        <v>170000</v>
      </c>
      <c r="T19" s="14"/>
      <c r="U19" s="14"/>
    </row>
    <row r="20" customFormat="false" ht="14.25" hidden="false" customHeight="true" outlineLevel="0" collapsed="false">
      <c r="A20" s="10" t="n">
        <v>46252</v>
      </c>
      <c r="E20" s="12"/>
      <c r="F20" s="15" t="n">
        <v>45000</v>
      </c>
      <c r="J20" s="11" t="n">
        <v>45000</v>
      </c>
      <c r="K20" s="2"/>
      <c r="M20" s="12"/>
      <c r="N20" s="11" t="n">
        <v>45000</v>
      </c>
      <c r="O20" s="12"/>
      <c r="P20" s="12"/>
      <c r="Q20" s="12"/>
      <c r="R20" s="12" t="n">
        <f aca="false">D20+H19+L20+P20</f>
        <v>45000</v>
      </c>
      <c r="S20" s="13" t="n">
        <f aca="false">B20+F20+J20+N20</f>
        <v>135000</v>
      </c>
      <c r="T20" s="14"/>
      <c r="U20" s="14"/>
    </row>
    <row r="21" customFormat="false" ht="14.25" hidden="false" customHeight="true" outlineLevel="0" collapsed="false">
      <c r="A21" s="10" t="n">
        <v>46253</v>
      </c>
      <c r="E21" s="12"/>
      <c r="F21" s="2" t="n">
        <v>45000</v>
      </c>
      <c r="I21" s="12"/>
      <c r="J21" s="11" t="n">
        <v>45000</v>
      </c>
      <c r="K21" s="2"/>
      <c r="M21" s="12"/>
      <c r="N21" s="12"/>
      <c r="O21" s="12"/>
      <c r="P21" s="12"/>
      <c r="Q21" s="12"/>
      <c r="R21" s="12" t="n">
        <f aca="false">D21+H21+L21+P21</f>
        <v>0</v>
      </c>
      <c r="S21" s="13" t="n">
        <f aca="false">B21+F21+J21+N21</f>
        <v>90000</v>
      </c>
      <c r="T21" s="14"/>
      <c r="U21" s="14"/>
    </row>
    <row r="22" customFormat="false" ht="14.25" hidden="false" customHeight="true" outlineLevel="0" collapsed="false">
      <c r="A22" s="10" t="n">
        <v>46254</v>
      </c>
      <c r="B22" s="11"/>
      <c r="E22" s="12"/>
      <c r="F22" s="11"/>
      <c r="I22" s="12"/>
      <c r="J22" s="11"/>
      <c r="K22" s="2"/>
      <c r="M22" s="12"/>
      <c r="N22" s="12"/>
      <c r="O22" s="12"/>
      <c r="P22" s="12"/>
      <c r="Q22" s="12"/>
      <c r="R22" s="12" t="n">
        <f aca="false">D22+H22+L22+P22</f>
        <v>0</v>
      </c>
      <c r="S22" s="13" t="n">
        <f aca="false">B22+F22+J22+N22</f>
        <v>0</v>
      </c>
      <c r="T22" s="14"/>
      <c r="U22" s="14"/>
    </row>
    <row r="23" customFormat="false" ht="14.25" hidden="false" customHeight="true" outlineLevel="0" collapsed="false">
      <c r="A23" s="10" t="n">
        <v>46255</v>
      </c>
      <c r="B23" s="11"/>
      <c r="E23" s="12"/>
      <c r="F23" s="11"/>
      <c r="I23" s="12"/>
      <c r="J23" s="11"/>
      <c r="K23" s="2"/>
      <c r="M23" s="12"/>
      <c r="N23" s="12"/>
      <c r="O23" s="12"/>
      <c r="P23" s="12"/>
      <c r="Q23" s="12"/>
      <c r="R23" s="12" t="n">
        <f aca="false">D23+H23+L23+P23</f>
        <v>0</v>
      </c>
      <c r="S23" s="13" t="n">
        <f aca="false">B23+F23+J23+N23</f>
        <v>0</v>
      </c>
      <c r="T23" s="14"/>
      <c r="U23" s="14"/>
    </row>
    <row r="24" customFormat="false" ht="14.25" hidden="false" customHeight="true" outlineLevel="0" collapsed="false">
      <c r="A24" s="10" t="n">
        <v>46256</v>
      </c>
      <c r="B24" s="11"/>
      <c r="E24" s="12"/>
      <c r="F24" s="11"/>
      <c r="I24" s="12"/>
      <c r="J24" s="11"/>
      <c r="K24" s="2"/>
      <c r="M24" s="12"/>
      <c r="N24" s="12"/>
      <c r="O24" s="12"/>
      <c r="P24" s="12"/>
      <c r="Q24" s="12"/>
      <c r="R24" s="12" t="n">
        <f aca="false">D24+H24+L24+P24</f>
        <v>0</v>
      </c>
      <c r="S24" s="13" t="n">
        <f aca="false">B24+F24+J24+N24</f>
        <v>0</v>
      </c>
      <c r="T24" s="14"/>
      <c r="U24" s="14"/>
    </row>
    <row r="25" customFormat="false" ht="14.25" hidden="false" customHeight="true" outlineLevel="0" collapsed="false">
      <c r="A25" s="10" t="n">
        <v>46257</v>
      </c>
      <c r="B25" s="11"/>
      <c r="E25" s="12"/>
      <c r="F25" s="11"/>
      <c r="I25" s="12"/>
      <c r="J25" s="11"/>
      <c r="K25" s="2"/>
      <c r="M25" s="12"/>
      <c r="N25" s="12"/>
      <c r="O25" s="12"/>
      <c r="P25" s="12"/>
      <c r="Q25" s="12"/>
      <c r="R25" s="12" t="n">
        <f aca="false">D25+H25+L25+P25</f>
        <v>0</v>
      </c>
      <c r="S25" s="13" t="n">
        <f aca="false">B25+F25+J25+N25</f>
        <v>0</v>
      </c>
      <c r="T25" s="14"/>
      <c r="U25" s="14"/>
    </row>
    <row r="26" customFormat="false" ht="14.25" hidden="false" customHeight="true" outlineLevel="0" collapsed="false">
      <c r="A26" s="10" t="n">
        <v>46258</v>
      </c>
      <c r="B26" s="11"/>
      <c r="E26" s="12"/>
      <c r="F26" s="11"/>
      <c r="I26" s="12"/>
      <c r="J26" s="11"/>
      <c r="K26" s="2"/>
      <c r="M26" s="12"/>
      <c r="N26" s="12"/>
      <c r="O26" s="12"/>
      <c r="P26" s="12"/>
      <c r="Q26" s="12"/>
      <c r="R26" s="12" t="n">
        <f aca="false">D26+H26+L26+P26</f>
        <v>0</v>
      </c>
      <c r="S26" s="13" t="n">
        <f aca="false">B26+F26+J26+N26</f>
        <v>0</v>
      </c>
      <c r="T26" s="14"/>
      <c r="U26" s="14"/>
    </row>
    <row r="27" customFormat="false" ht="14.25" hidden="false" customHeight="true" outlineLevel="0" collapsed="false">
      <c r="A27" s="10" t="n">
        <v>46259</v>
      </c>
      <c r="B27" s="11"/>
      <c r="E27" s="12"/>
      <c r="F27" s="11"/>
      <c r="I27" s="12"/>
      <c r="J27" s="11"/>
      <c r="K27" s="2"/>
      <c r="M27" s="12"/>
      <c r="N27" s="12"/>
      <c r="O27" s="12"/>
      <c r="P27" s="12"/>
      <c r="Q27" s="12"/>
      <c r="R27" s="12" t="n">
        <f aca="false">D27+H27+L27+P27</f>
        <v>0</v>
      </c>
      <c r="S27" s="13" t="n">
        <f aca="false">B27+F27+J27+N27</f>
        <v>0</v>
      </c>
      <c r="T27" s="14"/>
      <c r="U27" s="14"/>
    </row>
    <row r="28" customFormat="false" ht="14.25" hidden="false" customHeight="true" outlineLevel="0" collapsed="false">
      <c r="A28" s="10" t="n">
        <v>46260</v>
      </c>
      <c r="E28" s="12"/>
      <c r="F28" s="11"/>
      <c r="I28" s="12"/>
      <c r="J28" s="11"/>
      <c r="K28" s="2"/>
      <c r="M28" s="12"/>
      <c r="N28" s="12"/>
      <c r="O28" s="12"/>
      <c r="P28" s="12"/>
      <c r="Q28" s="12"/>
      <c r="R28" s="12" t="n">
        <f aca="false">D28+H28+L28+P28</f>
        <v>0</v>
      </c>
      <c r="S28" s="13" t="n">
        <f aca="false">B28+F28+J28+N28</f>
        <v>0</v>
      </c>
      <c r="T28" s="14"/>
      <c r="U28" s="14"/>
    </row>
    <row r="29" customFormat="false" ht="14.25" hidden="false" customHeight="true" outlineLevel="0" collapsed="false">
      <c r="A29" s="10" t="n">
        <v>46261</v>
      </c>
      <c r="B29" s="11"/>
      <c r="E29" s="12"/>
      <c r="F29" s="11"/>
      <c r="I29" s="12"/>
      <c r="J29" s="11"/>
      <c r="K29" s="2"/>
      <c r="M29" s="12"/>
      <c r="N29" s="12"/>
      <c r="O29" s="12"/>
      <c r="P29" s="12"/>
      <c r="Q29" s="12"/>
      <c r="R29" s="12" t="n">
        <f aca="false">D29+H29+L29+P29</f>
        <v>0</v>
      </c>
      <c r="S29" s="13" t="n">
        <f aca="false">B29+F29+J29+N29</f>
        <v>0</v>
      </c>
      <c r="T29" s="14"/>
      <c r="U29" s="14"/>
    </row>
    <row r="30" customFormat="false" ht="14.25" hidden="false" customHeight="true" outlineLevel="0" collapsed="false">
      <c r="A30" s="10" t="n">
        <v>46262</v>
      </c>
      <c r="B30" s="16"/>
      <c r="E30" s="12"/>
      <c r="F30" s="11"/>
      <c r="I30" s="12"/>
      <c r="J30" s="11"/>
      <c r="K30" s="2"/>
      <c r="M30" s="12"/>
      <c r="N30" s="12"/>
      <c r="O30" s="12"/>
      <c r="P30" s="12"/>
      <c r="Q30" s="12"/>
      <c r="R30" s="12" t="n">
        <f aca="false">D30+H30+L30+P30</f>
        <v>0</v>
      </c>
      <c r="S30" s="13" t="n">
        <f aca="false">B30+F30+J30+N30</f>
        <v>0</v>
      </c>
      <c r="T30" s="14"/>
      <c r="U30" s="14"/>
    </row>
    <row r="31" customFormat="false" ht="14.25" hidden="false" customHeight="true" outlineLevel="0" collapsed="false">
      <c r="A31" s="10" t="n">
        <v>46263</v>
      </c>
      <c r="B31" s="11"/>
      <c r="E31" s="12"/>
      <c r="F31" s="11"/>
      <c r="I31" s="12"/>
      <c r="J31" s="11"/>
      <c r="K31" s="2"/>
      <c r="M31" s="12"/>
      <c r="N31" s="12"/>
      <c r="O31" s="12"/>
      <c r="P31" s="12"/>
      <c r="Q31" s="12"/>
      <c r="R31" s="12" t="n">
        <f aca="false">D31+H31+L31+P31</f>
        <v>0</v>
      </c>
      <c r="S31" s="13" t="n">
        <f aca="false">B31+F31+J31+N31</f>
        <v>0</v>
      </c>
      <c r="T31" s="14"/>
      <c r="U31" s="14"/>
    </row>
    <row r="32" customFormat="false" ht="14.25" hidden="false" customHeight="true" outlineLevel="0" collapsed="false">
      <c r="A32" s="10" t="n">
        <v>46264</v>
      </c>
      <c r="B32" s="11"/>
      <c r="E32" s="12"/>
      <c r="F32" s="11"/>
      <c r="I32" s="12"/>
      <c r="J32" s="11"/>
      <c r="K32" s="2"/>
      <c r="M32" s="12"/>
      <c r="N32" s="12"/>
      <c r="O32" s="12"/>
      <c r="P32" s="12"/>
      <c r="Q32" s="12"/>
      <c r="R32" s="12" t="n">
        <f aca="false">D32+H32+L32+P32</f>
        <v>0</v>
      </c>
      <c r="S32" s="13" t="n">
        <f aca="false">B32+F32+J32+N32</f>
        <v>0</v>
      </c>
      <c r="T32" s="14"/>
      <c r="U32" s="14"/>
    </row>
    <row r="33" customFormat="false" ht="14.25" hidden="false" customHeight="true" outlineLevel="0" collapsed="false">
      <c r="A33" s="10" t="n">
        <v>46265</v>
      </c>
      <c r="B33" s="17"/>
      <c r="D33" s="18"/>
      <c r="E33" s="19"/>
      <c r="F33" s="17"/>
      <c r="H33" s="18"/>
      <c r="I33" s="19"/>
      <c r="J33" s="17"/>
      <c r="K33" s="2"/>
      <c r="L33" s="18"/>
      <c r="M33" s="19"/>
      <c r="N33" s="19"/>
      <c r="O33" s="19"/>
      <c r="P33" s="19"/>
      <c r="Q33" s="19"/>
      <c r="R33" s="19" t="n">
        <f aca="false">D33+H33+L33+P33</f>
        <v>0</v>
      </c>
      <c r="S33" s="13" t="n">
        <f aca="false">B33+F33+J33+N33</f>
        <v>0</v>
      </c>
      <c r="T33" s="14"/>
      <c r="U33" s="14"/>
    </row>
    <row r="34" customFormat="false" ht="33" hidden="false" customHeight="true" outlineLevel="0" collapsed="false">
      <c r="A34" s="20" t="s">
        <v>16</v>
      </c>
      <c r="B34" s="21" t="n">
        <f aca="false">SUM(B3:B33)</f>
        <v>85000</v>
      </c>
      <c r="C34" s="21" t="n">
        <f aca="false">SUM(C3:C33)</f>
        <v>0</v>
      </c>
      <c r="D34" s="21" t="n">
        <f aca="false">SUM(D3:D33)</f>
        <v>0</v>
      </c>
      <c r="E34" s="22"/>
      <c r="F34" s="21" t="n">
        <f aca="false">SUM(F3:F33)</f>
        <v>135000</v>
      </c>
      <c r="G34" s="21" t="n">
        <f aca="false">SUM(G3:G33)</f>
        <v>0</v>
      </c>
      <c r="H34" s="21" t="n">
        <f aca="false">SUM(H3:H33)</f>
        <v>45000</v>
      </c>
      <c r="I34" s="22"/>
      <c r="J34" s="21" t="n">
        <f aca="false">SUM(J3:J33)</f>
        <v>135000</v>
      </c>
      <c r="K34" s="21" t="n">
        <f aca="false">SUM(K3:K33)</f>
        <v>0</v>
      </c>
      <c r="L34" s="21" t="n">
        <f aca="false">SUM(L3:L33)</f>
        <v>0</v>
      </c>
      <c r="M34" s="22"/>
      <c r="N34" s="23" t="n">
        <f aca="false">SUM(N3:N33)</f>
        <v>130000</v>
      </c>
      <c r="O34" s="23" t="n">
        <f aca="false">SUM(O3:O33)</f>
        <v>0</v>
      </c>
      <c r="P34" s="23" t="n">
        <f aca="false">SUM(P3:P33)</f>
        <v>0</v>
      </c>
      <c r="Q34" s="22"/>
      <c r="R34" s="23" t="n">
        <f aca="false">SUM(R3:R33)</f>
        <v>90000</v>
      </c>
      <c r="S34" s="23" t="n">
        <f aca="false">SUM(S3:S33)</f>
        <v>485000</v>
      </c>
      <c r="T34" s="24"/>
      <c r="U34" s="24"/>
    </row>
    <row r="35" customFormat="false" ht="14.25" hidden="false" customHeight="true" outlineLevel="0" collapsed="false">
      <c r="A35" s="25" t="s">
        <v>17</v>
      </c>
      <c r="B35" s="25"/>
      <c r="C35" s="25"/>
      <c r="D35" s="25"/>
    </row>
    <row r="36" customFormat="false" ht="14.25" hidden="false" customHeight="true" outlineLevel="0" collapsed="false">
      <c r="A36" s="26"/>
      <c r="B36" s="27" t="s">
        <v>18</v>
      </c>
      <c r="C36" s="27" t="s">
        <v>19</v>
      </c>
      <c r="D36" s="27" t="s">
        <v>20</v>
      </c>
    </row>
    <row r="37" customFormat="false" ht="14.25" hidden="false" customHeight="true" outlineLevel="0" collapsed="false">
      <c r="A37" s="28" t="s">
        <v>1</v>
      </c>
      <c r="B37" s="14" t="n">
        <v>40000</v>
      </c>
      <c r="C37" s="14" t="n">
        <f aca="false">C34</f>
        <v>0</v>
      </c>
      <c r="D37" s="14" t="n">
        <f aca="false">B37-C37</f>
        <v>40000</v>
      </c>
    </row>
    <row r="38" customFormat="false" ht="14.25" hidden="false" customHeight="true" outlineLevel="0" collapsed="false">
      <c r="A38" s="28" t="s">
        <v>2</v>
      </c>
      <c r="B38" s="14" t="n">
        <v>80000</v>
      </c>
      <c r="C38" s="14" t="n">
        <f aca="false">G34</f>
        <v>0</v>
      </c>
      <c r="D38" s="14" t="n">
        <f aca="false">B38-C38</f>
        <v>80000</v>
      </c>
    </row>
    <row r="39" customFormat="false" ht="14.25" hidden="false" customHeight="true" outlineLevel="0" collapsed="false">
      <c r="A39" s="28" t="s">
        <v>3</v>
      </c>
      <c r="B39" s="14" t="n">
        <v>20000</v>
      </c>
      <c r="C39" s="14" t="n">
        <f aca="false">K34</f>
        <v>0</v>
      </c>
      <c r="D39" s="14" t="n">
        <f aca="false">B39-C39</f>
        <v>20000</v>
      </c>
    </row>
    <row r="40" customFormat="false" ht="14.25" hidden="false" customHeight="false" outlineLevel="0" collapsed="false">
      <c r="A40" s="28" t="s">
        <v>4</v>
      </c>
      <c r="B40" s="14"/>
      <c r="C40" s="14" t="n">
        <f aca="false">O34</f>
        <v>0</v>
      </c>
      <c r="D40" s="14" t="n">
        <f aca="false">B40-C40</f>
        <v>0</v>
      </c>
    </row>
    <row r="42" customFormat="false" ht="14.25" hidden="false" customHeight="false" outlineLevel="0" collapsed="false">
      <c r="A42" s="29" t="s">
        <v>21</v>
      </c>
      <c r="B42" s="29"/>
      <c r="C42" s="29"/>
      <c r="D42" s="29"/>
      <c r="E42" s="29"/>
    </row>
    <row r="43" customFormat="false" ht="46.25" hidden="false" customHeight="false" outlineLevel="0" collapsed="false">
      <c r="A43" s="30" t="s">
        <v>22</v>
      </c>
      <c r="B43" s="31" t="s">
        <v>23</v>
      </c>
      <c r="C43" s="31" t="s">
        <v>24</v>
      </c>
      <c r="D43" s="31" t="s">
        <v>25</v>
      </c>
      <c r="E43" s="31" t="s">
        <v>26</v>
      </c>
    </row>
    <row r="44" customFormat="false" ht="14.25" hidden="false" customHeight="false" outlineLevel="0" collapsed="false">
      <c r="A44" s="32" t="s">
        <v>1</v>
      </c>
      <c r="B44" s="33" t="n">
        <f aca="false">B34</f>
        <v>85000</v>
      </c>
      <c r="C44" s="33" t="n">
        <f aca="false">C34</f>
        <v>0</v>
      </c>
      <c r="D44" s="33" t="n">
        <f aca="false">D34</f>
        <v>0</v>
      </c>
      <c r="E44" s="33" t="n">
        <f aca="false">B44+D44-C44</f>
        <v>85000</v>
      </c>
    </row>
    <row r="45" customFormat="false" ht="14.25" hidden="false" customHeight="false" outlineLevel="0" collapsed="false">
      <c r="A45" s="32" t="s">
        <v>2</v>
      </c>
      <c r="B45" s="33" t="n">
        <f aca="false">F34</f>
        <v>135000</v>
      </c>
      <c r="C45" s="33" t="n">
        <f aca="false">G34</f>
        <v>0</v>
      </c>
      <c r="D45" s="33" t="n">
        <f aca="false">H34</f>
        <v>45000</v>
      </c>
      <c r="E45" s="33" t="n">
        <f aca="false">B45+D45-C45</f>
        <v>180000</v>
      </c>
    </row>
    <row r="46" customFormat="false" ht="14.25" hidden="false" customHeight="false" outlineLevel="0" collapsed="false">
      <c r="A46" s="32" t="s">
        <v>3</v>
      </c>
      <c r="B46" s="33" t="n">
        <f aca="false">J34</f>
        <v>135000</v>
      </c>
      <c r="C46" s="33" t="n">
        <f aca="false">K34</f>
        <v>0</v>
      </c>
      <c r="D46" s="33" t="n">
        <f aca="false">L34</f>
        <v>0</v>
      </c>
      <c r="E46" s="33" t="n">
        <f aca="false">B46+D46-C46</f>
        <v>135000</v>
      </c>
    </row>
    <row r="47" customFormat="false" ht="14.25" hidden="false" customHeight="false" outlineLevel="0" collapsed="false">
      <c r="A47" s="32" t="s">
        <v>4</v>
      </c>
      <c r="B47" s="33" t="n">
        <f aca="false">N34</f>
        <v>130000</v>
      </c>
      <c r="C47" s="33" t="n">
        <f aca="false">O34</f>
        <v>0</v>
      </c>
      <c r="D47" s="33" t="n">
        <f aca="false">P34</f>
        <v>0</v>
      </c>
      <c r="E47" s="33" t="n">
        <f aca="false">B47+D47-C47</f>
        <v>130000</v>
      </c>
    </row>
    <row r="48" customFormat="false" ht="14.25" hidden="false" customHeight="false" outlineLevel="0" collapsed="false">
      <c r="A48" s="32" t="s">
        <v>27</v>
      </c>
      <c r="B48" s="34" t="n">
        <f aca="false">SUM(B44:B47)</f>
        <v>485000</v>
      </c>
      <c r="C48" s="34" t="n">
        <f aca="false">SUM(C44:C47)</f>
        <v>0</v>
      </c>
      <c r="D48" s="34" t="n">
        <f aca="false">SUM(D44:D47)</f>
        <v>45000</v>
      </c>
      <c r="E48" s="34" t="n">
        <f aca="false">SUM(E44:E47)</f>
        <v>530000</v>
      </c>
    </row>
  </sheetData>
  <mergeCells count="11">
    <mergeCell ref="A1:A2"/>
    <mergeCell ref="B1:E1"/>
    <mergeCell ref="F1:I1"/>
    <mergeCell ref="J1:M1"/>
    <mergeCell ref="N1:Q1"/>
    <mergeCell ref="R1:R2"/>
    <mergeCell ref="S1:S2"/>
    <mergeCell ref="T1:T2"/>
    <mergeCell ref="U1:U2"/>
    <mergeCell ref="A35:D35"/>
    <mergeCell ref="A42:E4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4" activeCellId="1" sqref="B44:B47 B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9.62"/>
  </cols>
  <sheetData>
    <row r="1" customFormat="false" ht="12.8" hidden="false" customHeight="false" outlineLevel="0" collapsed="false">
      <c r="A1" s="1" t="s">
        <v>28</v>
      </c>
      <c r="B1" s="1" t="n">
        <v>400000</v>
      </c>
    </row>
    <row r="2" customFormat="false" ht="12.8" hidden="false" customHeight="false" outlineLevel="0" collapsed="false">
      <c r="A2" s="1" t="s">
        <v>29</v>
      </c>
      <c r="B2" s="1" t="n">
        <v>450000</v>
      </c>
    </row>
    <row r="3" customFormat="false" ht="12.8" hidden="false" customHeight="false" outlineLevel="0" collapsed="false">
      <c r="A3" s="1" t="s">
        <v>30</v>
      </c>
      <c r="B3" s="1" t="n">
        <v>450000</v>
      </c>
    </row>
    <row r="6" customFormat="false" ht="12.8" hidden="false" customHeight="false" outlineLevel="0" collapsed="false">
      <c r="D6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2025-11-24T20:07:42Z</dcterms:created>
  <dc:creator/>
  <dc:description/>
  <dc:language>en-US</dc:language>
  <cp:lastModifiedBy/>
  <dcterms:modified xsi:type="dcterms:W3CDTF">2026-08-20T09:36:35Z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